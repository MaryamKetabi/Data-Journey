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M:\120 days of BI\"/>
    </mc:Choice>
  </mc:AlternateContent>
  <xr:revisionPtr revIDLastSave="0" documentId="13_ncr:1_{1C09C71F-F23D-405B-B240-ACFBC2D1508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  <sheet name="Sheet4" sheetId="5" r:id="rId4"/>
    <sheet name="Sheet6" sheetId="7" r:id="rId5"/>
    <sheet name="Sheet8" sheetId="9" r:id="rId6"/>
    <sheet name="Sheet7" sheetId="8" r:id="rId7"/>
    <sheet name="Sheet5" sheetId="6" r:id="rId8"/>
  </sheets>
  <calcPr calcId="191029"/>
  <pivotCaches>
    <pivotCache cacheId="3" r:id="rId9"/>
    <pivotCache cacheId="7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6" l="1"/>
  <c r="D6" i="6"/>
  <c r="D2" i="3"/>
  <c r="D3" i="3"/>
  <c r="E2" i="1"/>
  <c r="E3" i="1"/>
  <c r="E4" i="1"/>
  <c r="E5" i="1"/>
  <c r="E6" i="1"/>
  <c r="E7" i="1"/>
  <c r="E8" i="1"/>
  <c r="B2" i="2"/>
  <c r="B3" i="2"/>
  <c r="B4" i="2"/>
  <c r="D2" i="1"/>
  <c r="D9" i="1" s="1"/>
  <c r="D3" i="1"/>
  <c r="D7" i="1" s="1"/>
  <c r="D4" i="1"/>
  <c r="D5" i="1"/>
  <c r="D6" i="1"/>
  <c r="D8" i="1" l="1"/>
</calcChain>
</file>

<file path=xl/sharedStrings.xml><?xml version="1.0" encoding="utf-8"?>
<sst xmlns="http://schemas.openxmlformats.org/spreadsheetml/2006/main" count="87" uniqueCount="59">
  <si>
    <t>محصول</t>
  </si>
  <si>
    <t>هزینه تبلیغات</t>
  </si>
  <si>
    <t>فروش</t>
  </si>
  <si>
    <t>سود خالص</t>
  </si>
  <si>
    <t>بذر گوجه گیلاسی</t>
  </si>
  <si>
    <t>پکیج خاک گلدان</t>
  </si>
  <si>
    <t>کود ارگانیک مایع</t>
  </si>
  <si>
    <t>قیچی باغبانی</t>
  </si>
  <si>
    <t>سم‌پاش دستی</t>
  </si>
  <si>
    <t>مجموع</t>
  </si>
  <si>
    <t>میانگین</t>
  </si>
  <si>
    <t>بیشترین سود</t>
  </si>
  <si>
    <t>نام مشتری (نامرتب)</t>
  </si>
  <si>
    <t>سارا</t>
  </si>
  <si>
    <t>رضا</t>
  </si>
  <si>
    <t>محمد</t>
  </si>
  <si>
    <t>مرتب شده</t>
  </si>
  <si>
    <t>وضعیت</t>
  </si>
  <si>
    <t>کد محصول (ستون A)</t>
  </si>
  <si>
    <t>نام لباس (ستون B)</t>
  </si>
  <si>
    <t>لگ ورزشی زنانه</t>
  </si>
  <si>
    <t>هودی اورسایز</t>
  </si>
  <si>
    <t>تیشرت نخی باشگاه</t>
  </si>
  <si>
    <t>نیم‌تنه تمرینی</t>
  </si>
  <si>
    <t>کدی که فروخته شده (ستون D)</t>
  </si>
  <si>
    <t>نام لباس پیدا شده (ستون E)</t>
  </si>
  <si>
    <t>کد محصول</t>
  </si>
  <si>
    <t>نام محصول</t>
  </si>
  <si>
    <t>تعداد موجودی</t>
  </si>
  <si>
    <t>بیلچه باغبانی</t>
  </si>
  <si>
    <t>صندلی تاشو کمپ</t>
  </si>
  <si>
    <t>دستکش کار</t>
  </si>
  <si>
    <t>قیچی هرزبر</t>
  </si>
  <si>
    <t>دسته‌بندی</t>
  </si>
  <si>
    <t>مسئول فروش</t>
  </si>
  <si>
    <t>مبلغ فروش (تومان)</t>
  </si>
  <si>
    <t>لگ ورزشی</t>
  </si>
  <si>
    <t>لباس</t>
  </si>
  <si>
    <t>مریم کتابی</t>
  </si>
  <si>
    <t>کتونی رانینگ</t>
  </si>
  <si>
    <t>کفش</t>
  </si>
  <si>
    <t>مهدی یزدانی</t>
  </si>
  <si>
    <t>کتونی پیاده‌روی</t>
  </si>
  <si>
    <t>جمع فروش لباس</t>
  </si>
  <si>
    <t>جمع فروش کفش</t>
  </si>
  <si>
    <t>Row Labels</t>
  </si>
  <si>
    <t>(blank)</t>
  </si>
  <si>
    <t>Grand Total</t>
  </si>
  <si>
    <t>Sum of مبلغ فروش (تومان)</t>
  </si>
  <si>
    <t>پلتفرم فروش</t>
  </si>
  <si>
    <t>مبلغ فروش</t>
  </si>
  <si>
    <t>پایین‌تنه</t>
  </si>
  <si>
    <t>اینستاگرام</t>
  </si>
  <si>
    <t>وب‌سایت</t>
  </si>
  <si>
    <t>بالاتنه</t>
  </si>
  <si>
    <t>جوراب ورزشی</t>
  </si>
  <si>
    <t>اکسسوری</t>
  </si>
  <si>
    <t>شلوارک تمرینی</t>
  </si>
  <si>
    <t>Sum of مبلغ فروش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</si>
</sst>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theme="1"/>
      <name val="Adobe Arabic"/>
      <family val="1"/>
    </font>
    <font>
      <sz val="12"/>
      <color theme="1"/>
      <name val="Adobe Arabic"/>
      <family val="1"/>
    </font>
    <font>
      <b/>
      <sz val="12"/>
      <color theme="1"/>
      <name val="Adobe Arabic"/>
      <family val="1"/>
    </font>
    <font>
      <b/>
      <sz val="11"/>
      <color theme="1"/>
      <name val="Adobe Arabic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10" xfId="0" applyFont="1" applyBorder="1"/>
    <xf numFmtId="0" fontId="0" fillId="0" borderId="0" xfId="0" pivotButton="1"/>
    <xf numFmtId="0" fontId="0" fillId="0" borderId="0" xfId="0" applyAlignment="1">
      <alignment horizontal="right"/>
    </xf>
    <xf numFmtId="0" fontId="0" fillId="0" borderId="0" xfId="0" applyNumberFormat="1"/>
  </cellXfs>
  <cellStyles count="1">
    <cellStyle name="Normal" xfId="0" builtinId="0"/>
  </cellStyles>
  <dxfs count="38">
    <dxf>
      <font>
        <strike val="0"/>
        <outline val="0"/>
        <shadow val="0"/>
        <u val="none"/>
        <vertAlign val="baseline"/>
        <sz val="11"/>
        <color theme="1"/>
        <name val="Adobe Arabic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dobe Arabic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dobe Arabic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dobe Arabic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dobe Arabic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dobe Arabic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dobe Arabic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dobe Arabic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dobe Arabic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dobe Arabic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dobe Arabic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Adobe Arabic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Adobe Arabic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Adobe Arabic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Adobe Arabic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Adobe Arabic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Adobe Arabic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Adobe Arabic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Adobe Arabic"/>
        <family val="1"/>
        <scheme val="none"/>
      </font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dobe Arabic"/>
        <family val="1"/>
        <scheme val="none"/>
      </font>
      <border diagonalUp="0" diagonalDown="0" outline="0">
        <left/>
        <right/>
        <top style="medium">
          <color rgb="FFCCCCCC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dobe Arabic"/>
        <family val="1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dobe Arabic"/>
        <family val="1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dobe Arabic"/>
        <family val="1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dobe Arab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dobe Arab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dobe Arab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dobe Arab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dobe Arab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dobe Arab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top style="medium">
          <color rgb="FFCCCCCC"/>
        </top>
      </border>
    </dxf>
    <dxf>
      <font>
        <strike val="0"/>
        <outline val="0"/>
        <shadow val="0"/>
        <u val="none"/>
        <vertAlign val="baseline"/>
        <color theme="1"/>
        <name val="Adobe Arabic"/>
        <family val="1"/>
        <scheme val="none"/>
      </font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dobe Arabic"/>
        <family val="1"/>
        <scheme val="none"/>
      </font>
      <alignment horizontal="center" vertical="center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dobe Arabic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istic Blue☁️" refreshedDate="46215.628882291669" createdVersion="8" refreshedVersion="8" minRefreshableVersion="3" recordCount="6" xr:uid="{4926A9D9-F033-4832-949C-50396EB04FED}">
  <cacheSource type="worksheet">
    <worksheetSource name="Table6"/>
  </cacheSource>
  <cacheFields count="4">
    <cacheField name="نام محصول" numFmtId="0">
      <sharedItems/>
    </cacheField>
    <cacheField name="دسته‌بندی" numFmtId="0">
      <sharedItems containsBlank="1"/>
    </cacheField>
    <cacheField name="مسئول فروش" numFmtId="0">
      <sharedItems containsBlank="1" count="3">
        <s v="مریم کتابی"/>
        <s v="مهدی یزدانی"/>
        <m/>
      </sharedItems>
    </cacheField>
    <cacheField name="مبلغ فروش (تومان)" numFmtId="0">
      <sharedItems containsSemiMixedTypes="0" containsString="0" containsNumber="1" containsInteger="1" minValue="500000" maxValue="25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istic Blue☁️" refreshedDate="46215.629997685188" createdVersion="8" refreshedVersion="8" minRefreshableVersion="3" recordCount="7" xr:uid="{66860835-3111-4614-914F-2241ED23A772}">
  <cacheSource type="worksheet">
    <worksheetSource name="Table7"/>
  </cacheSource>
  <cacheFields count="4">
    <cacheField name="نام محصول" numFmtId="0">
      <sharedItems/>
    </cacheField>
    <cacheField name="دسته‌بندی" numFmtId="0">
      <sharedItems/>
    </cacheField>
    <cacheField name="پلتفرم فروش" numFmtId="0">
      <sharedItems count="2">
        <s v="اینستاگرام"/>
        <s v="وب‌سایت"/>
      </sharedItems>
    </cacheField>
    <cacheField name="مبلغ فروش" numFmtId="0">
      <sharedItems containsSemiMixedTypes="0" containsString="0" containsNumber="1" containsInteger="1" minValue="150000" maxValue="16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s v="لگ ورزشی"/>
    <s v="لباس"/>
    <x v="0"/>
    <n v="500000"/>
  </r>
  <r>
    <s v="کتونی رانینگ"/>
    <s v="کفش"/>
    <x v="1"/>
    <n v="1600000"/>
  </r>
  <r>
    <s v="نیم‌تنه تمرینی"/>
    <s v="لباس"/>
    <x v="0"/>
    <n v="600000"/>
  </r>
  <r>
    <s v="کتونی پیاده‌روی"/>
    <s v="کفش"/>
    <x v="1"/>
    <n v="900000"/>
  </r>
  <r>
    <s v="جمع فروش لباس"/>
    <m/>
    <x v="2"/>
    <n v="1100000"/>
  </r>
  <r>
    <s v="جمع فروش کفش"/>
    <m/>
    <x v="2"/>
    <n v="2500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s v="لگ ورزشی"/>
    <s v="پایین‌تنه"/>
    <x v="0"/>
    <n v="500000"/>
  </r>
  <r>
    <s v="کتونی رانینگ"/>
    <s v="کفش"/>
    <x v="1"/>
    <n v="1600000"/>
  </r>
  <r>
    <s v="هودی اورسایز"/>
    <s v="بالاتنه"/>
    <x v="1"/>
    <n v="850000"/>
  </r>
  <r>
    <s v="نیم‌تنه تمرینی"/>
    <s v="بالاتنه"/>
    <x v="0"/>
    <n v="600000"/>
  </r>
  <r>
    <s v="جوراب ورزشی"/>
    <s v="اکسسوری"/>
    <x v="0"/>
    <n v="150000"/>
  </r>
  <r>
    <s v="کتونی پیاده‌روی"/>
    <s v="کفش"/>
    <x v="1"/>
    <n v="900000"/>
  </r>
  <r>
    <s v="شلوارک تمرینی"/>
    <s v="پایین‌تنه"/>
    <x v="0"/>
    <n v="45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F726D5-82C5-460B-A98A-FFFBC678145F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4"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مبلغ فروش (تومان)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FDB196-6C3D-48A1-9684-F7239AD114C2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4">
    <pivotField showAll="0"/>
    <pivotField showAll="0"/>
    <pivotField axis="axisRow" showAll="0">
      <items count="3">
        <item x="0"/>
        <item x="1"/>
        <item t="default"/>
      </items>
    </pivotField>
    <pivotField dataField="1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مبلغ فروش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D5930E-321A-420F-B33A-5F2E79204F2A}" name="Table1" displayName="Table1" ref="A1:E9" totalsRowCount="1" headerRowDxfId="37" dataDxfId="35" totalsRowDxfId="33" headerRowBorderDxfId="36" tableBorderDxfId="34" totalsRowBorderDxfId="32">
  <autoFilter ref="A1:E8" xr:uid="{37D5930E-321A-420F-B33A-5F2E79204F2A}"/>
  <tableColumns count="5">
    <tableColumn id="1" xr3:uid="{19CBC538-1E4D-4626-8B4B-372A92B82111}" name="محصول" totalsRowLabel="مجموع" dataDxfId="31" totalsRowDxfId="30"/>
    <tableColumn id="2" xr3:uid="{0E7AA232-C3F2-45C0-8C8D-0A89ADDB3A1B}" name="هزینه تبلیغات" dataDxfId="29" totalsRowDxfId="28"/>
    <tableColumn id="3" xr3:uid="{F6B9ABD9-DA3A-487B-ABD8-7E3C0F59B8F8}" name="فروش" dataDxfId="27" totalsRowDxfId="26"/>
    <tableColumn id="4" xr3:uid="{C0DD5233-3733-4008-9B5B-984AB7762248}" name="سود خالص" totalsRowFunction="custom" dataDxfId="25" totalsRowDxfId="24">
      <calculatedColumnFormula>Table1[[#This Row],[فروش]]-Table1[[#This Row],[هزینه تبلیغات]]</calculatedColumnFormula>
      <totalsRowFormula>SUM(D2:D6)</totalsRowFormula>
    </tableColumn>
    <tableColumn id="5" xr3:uid="{FC8A49CA-385E-4DF8-B6D7-75685594EC8F}" name="وضعیت" dataDxfId="23" totalsRowDxfId="22">
      <calculatedColumnFormula>IF(Table1[[#This Row],[سود خالص]]&gt;0,"سودده","زیان‌ده")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B5AA28-1AA7-47D2-B106-BBC64FEBD02C}" name="Table2" displayName="Table2" ref="A1:B4" totalsRowShown="0" dataDxfId="21">
  <autoFilter ref="A1:B4" xr:uid="{EAB5AA28-1AA7-47D2-B106-BBC64FEBD02C}"/>
  <tableColumns count="2">
    <tableColumn id="1" xr3:uid="{C3D7ADE1-EEE4-4615-B020-2D96079E3D9A}" name="نام مشتری (نامرتب)" dataDxfId="20"/>
    <tableColumn id="2" xr3:uid="{3B763F95-467E-44DE-B9CB-C786143B548E}" name="مرتب شده" dataDxfId="19">
      <calculatedColumnFormula>TRIM(Table2[[#This Row],[نام مشتری (نامرتب)]])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C668E9-641C-4361-A532-25448487A70C}" name="Table3" displayName="Table3" ref="A1:B5" totalsRowShown="0" headerRowDxfId="18" dataDxfId="17">
  <autoFilter ref="A1:B5" xr:uid="{19C668E9-641C-4361-A532-25448487A70C}"/>
  <tableColumns count="2">
    <tableColumn id="1" xr3:uid="{93E000A3-9490-42A1-8E46-54C2EAE6A9DE}" name="کد محصول (ستون A)" dataDxfId="16"/>
    <tableColumn id="2" xr3:uid="{753CA8D0-21F0-406A-8835-00EFF4677D51}" name="نام لباس (ستون B)" dataDxfId="1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2DD470C-A378-4494-BE03-16CC0442D009}" name="Table4" displayName="Table4" ref="C1:D3" totalsRowShown="0" headerRowDxfId="14" dataDxfId="13">
  <autoFilter ref="C1:D3" xr:uid="{F2DD470C-A378-4494-BE03-16CC0442D009}"/>
  <tableColumns count="2">
    <tableColumn id="1" xr3:uid="{4EC8A94A-CE76-4619-A2E7-D73FDABD62F3}" name="کدی که فروخته شده (ستون D)" dataDxfId="12"/>
    <tableColumn id="2" xr3:uid="{A55FB34A-C18C-43CF-860C-A3B72755FC0A}" name="نام لباس پیدا شده (ستون E)" dataDxfId="11">
      <calculatedColumnFormula>VLOOKUP(Table4[[#This Row],[کدی که فروخته شده (ستون D)]],Table3[],2,0)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D610597-AE50-493F-AF61-2B621D4D3A06}" name="Table5" displayName="Table5" ref="A1:C5" totalsRowShown="0" headerRowDxfId="10" dataDxfId="9">
  <autoFilter ref="A1:C5" xr:uid="{7D610597-AE50-493F-AF61-2B621D4D3A06}"/>
  <tableColumns count="3">
    <tableColumn id="1" xr3:uid="{3946865E-3CA2-4778-B495-67E90AE3AF25}" name="کد محصول" dataDxfId="8"/>
    <tableColumn id="2" xr3:uid="{9C0CC5DF-E49E-47EA-90EB-DD697DAE8941}" name="نام محصول" dataDxfId="7"/>
    <tableColumn id="3" xr3:uid="{926F12D1-3BED-4E44-BF85-370910646627}" name="تعداد موجودی" dataDxfId="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A658ED9-CBC7-4A31-BE4D-2DF10AE4DBF9}" name="Table7" displayName="Table7" ref="A1:D8" totalsRowShown="0">
  <autoFilter ref="A1:D8" xr:uid="{7A658ED9-CBC7-4A31-BE4D-2DF10AE4DBF9}"/>
  <tableColumns count="4">
    <tableColumn id="1" xr3:uid="{EAD2FBF4-9C36-4D46-AA3A-9437AEF1407B}" name="نام محصول"/>
    <tableColumn id="2" xr3:uid="{094F4E08-2711-41D5-877D-C4691BB62DEC}" name="دسته‌بندی"/>
    <tableColumn id="3" xr3:uid="{0AD6911E-710A-4E17-9928-AE090A698C8A}" name="پلتفرم فروش"/>
    <tableColumn id="4" xr3:uid="{1305D06A-1199-4013-9269-DF3301D672ED}" name="مبلغ فروش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D9AC847-2A17-479E-8FB4-6711F4D02237}" name="Table6" displayName="Table6" ref="A1:D7" totalsRowShown="0" headerRowDxfId="5" dataDxfId="4">
  <autoFilter ref="A1:D7" xr:uid="{9D9AC847-2A17-479E-8FB4-6711F4D02237}"/>
  <tableColumns count="4">
    <tableColumn id="1" xr3:uid="{FBA31B7B-5C62-4BA2-A14D-E5D8717CA54B}" name="نام محصول" dataDxfId="3"/>
    <tableColumn id="2" xr3:uid="{AE8DD14D-EEF8-4ED4-BD9B-2EA8863E3EC8}" name="دسته‌بندی" dataDxfId="2"/>
    <tableColumn id="3" xr3:uid="{F018DB1E-4E20-48C3-B5E9-D49669FC8BAB}" name="مسئول فروش" dataDxfId="1"/>
    <tableColumn id="4" xr3:uid="{C14F4AA0-0B96-4799-9E65-F219666075B8}" name="مبلغ فروش (تومان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rightToLeft="1" tabSelected="1" zoomScale="175" zoomScaleNormal="175" workbookViewId="0">
      <selection activeCell="H5" sqref="H5"/>
    </sheetView>
  </sheetViews>
  <sheetFormatPr defaultRowHeight="14.25" x14ac:dyDescent="0.2"/>
  <cols>
    <col min="1" max="1" width="12.625" bestFit="1" customWidth="1"/>
    <col min="2" max="2" width="14.75" bestFit="1" customWidth="1"/>
    <col min="3" max="3" width="9" bestFit="1" customWidth="1"/>
    <col min="4" max="4" width="12.125" bestFit="1" customWidth="1"/>
  </cols>
  <sheetData>
    <row r="1" spans="1:5" ht="21.75" thickBot="1" x14ac:dyDescent="0.25">
      <c r="A1" s="4" t="s">
        <v>0</v>
      </c>
      <c r="B1" s="5" t="s">
        <v>1</v>
      </c>
      <c r="C1" s="5" t="s">
        <v>2</v>
      </c>
      <c r="D1" s="6" t="s">
        <v>3</v>
      </c>
      <c r="E1" s="5" t="s">
        <v>17</v>
      </c>
    </row>
    <row r="2" spans="1:5" ht="21.75" thickBot="1" x14ac:dyDescent="0.25">
      <c r="A2" s="7" t="s">
        <v>4</v>
      </c>
      <c r="B2" s="8">
        <v>150000</v>
      </c>
      <c r="C2" s="8">
        <v>400000</v>
      </c>
      <c r="D2" s="9">
        <f>Table1[[#This Row],[فروش]]-Table1[[#This Row],[هزینه تبلیغات]]</f>
        <v>250000</v>
      </c>
      <c r="E2" s="18" t="str">
        <f>IF(Table1[[#This Row],[سود خالص]]&gt;0,"سودده","زیان‌ده")</f>
        <v>سودده</v>
      </c>
    </row>
    <row r="3" spans="1:5" ht="21.75" thickBot="1" x14ac:dyDescent="0.25">
      <c r="A3" s="7" t="s">
        <v>5</v>
      </c>
      <c r="B3" s="8">
        <v>300000</v>
      </c>
      <c r="C3" s="8">
        <v>950000</v>
      </c>
      <c r="D3" s="9">
        <f>Table1[[#This Row],[فروش]]-Table1[[#This Row],[هزینه تبلیغات]]</f>
        <v>650000</v>
      </c>
      <c r="E3" s="18" t="str">
        <f>IF(Table1[[#This Row],[سود خالص]]&gt;0,"سودده","زیان‌ده")</f>
        <v>سودده</v>
      </c>
    </row>
    <row r="4" spans="1:5" ht="21.75" thickBot="1" x14ac:dyDescent="0.25">
      <c r="A4" s="7" t="s">
        <v>6</v>
      </c>
      <c r="B4" s="8">
        <v>200000</v>
      </c>
      <c r="C4" s="8">
        <v>200000</v>
      </c>
      <c r="D4" s="9">
        <f>Table1[[#This Row],[فروش]]-Table1[[#This Row],[هزینه تبلیغات]]</f>
        <v>0</v>
      </c>
      <c r="E4" s="18" t="str">
        <f>IF(Table1[[#This Row],[سود خالص]]&gt;0,"سودده","زیان‌ده")</f>
        <v>زیان‌ده</v>
      </c>
    </row>
    <row r="5" spans="1:5" ht="21.75" thickBot="1" x14ac:dyDescent="0.25">
      <c r="A5" s="7" t="s">
        <v>7</v>
      </c>
      <c r="B5" s="8">
        <v>450000</v>
      </c>
      <c r="C5" s="8">
        <v>1200000</v>
      </c>
      <c r="D5" s="9">
        <f>Table1[[#This Row],[فروش]]-Table1[[#This Row],[هزینه تبلیغات]]</f>
        <v>750000</v>
      </c>
      <c r="E5" s="18" t="str">
        <f>IF(Table1[[#This Row],[سود خالص]]&gt;0,"سودده","زیان‌ده")</f>
        <v>سودده</v>
      </c>
    </row>
    <row r="6" spans="1:5" ht="21.75" thickBot="1" x14ac:dyDescent="0.25">
      <c r="A6" s="10" t="s">
        <v>8</v>
      </c>
      <c r="B6" s="11">
        <v>100000</v>
      </c>
      <c r="C6" s="11">
        <v>80000</v>
      </c>
      <c r="D6" s="12">
        <f>Table1[[#This Row],[فروش]]-Table1[[#This Row],[هزینه تبلیغات]]</f>
        <v>-20000</v>
      </c>
      <c r="E6" s="18" t="str">
        <f>IF(Table1[[#This Row],[سود خالص]]&gt;0,"سودده","زیان‌ده")</f>
        <v>زیان‌ده</v>
      </c>
    </row>
    <row r="7" spans="1:5" ht="21.75" thickBot="1" x14ac:dyDescent="0.25">
      <c r="A7" s="15" t="s">
        <v>10</v>
      </c>
      <c r="B7" s="11"/>
      <c r="C7" s="11"/>
      <c r="D7" s="16">
        <f>AVERAGE(D2:D6)</f>
        <v>326000</v>
      </c>
      <c r="E7" s="18" t="str">
        <f>IF(Table1[[#This Row],[سود خالص]]&gt;0,"سودده","زیان‌ده")</f>
        <v>سودده</v>
      </c>
    </row>
    <row r="8" spans="1:5" ht="21.75" thickBot="1" x14ac:dyDescent="0.25">
      <c r="A8" s="10" t="s">
        <v>11</v>
      </c>
      <c r="B8" s="11"/>
      <c r="C8" s="11"/>
      <c r="D8" s="16">
        <f>MAX(D2:D6)</f>
        <v>750000</v>
      </c>
      <c r="E8" s="18" t="str">
        <f>IF(Table1[[#This Row],[سود خالص]]&gt;0,"سودده","زیان‌ده")</f>
        <v>سودده</v>
      </c>
    </row>
    <row r="9" spans="1:5" ht="21" x14ac:dyDescent="0.5">
      <c r="A9" s="10" t="s">
        <v>9</v>
      </c>
      <c r="B9" s="11"/>
      <c r="C9" s="11"/>
      <c r="D9" s="12">
        <f>SUM(D2:D6)</f>
        <v>1630000</v>
      </c>
      <c r="E9" s="19"/>
    </row>
    <row r="10" spans="1:5" ht="19.5" x14ac:dyDescent="0.5">
      <c r="A10" s="13"/>
      <c r="B10" s="13"/>
      <c r="C10" s="13"/>
      <c r="D10" s="13"/>
      <c r="E10" s="13"/>
    </row>
    <row r="11" spans="1:5" ht="19.5" x14ac:dyDescent="0.5">
      <c r="A11" s="13"/>
      <c r="B11" s="13"/>
      <c r="C11" s="13"/>
      <c r="D11" s="13"/>
      <c r="E11" s="13"/>
    </row>
    <row r="12" spans="1:5" ht="19.5" x14ac:dyDescent="0.5">
      <c r="A12" s="13"/>
      <c r="B12" s="13"/>
      <c r="C12" s="13"/>
      <c r="D12" s="13"/>
      <c r="E12" s="13"/>
    </row>
    <row r="13" spans="1:5" ht="19.5" x14ac:dyDescent="0.5">
      <c r="A13" s="13"/>
      <c r="B13" s="13"/>
      <c r="C13" s="13"/>
      <c r="D13" s="13"/>
      <c r="E13" s="13"/>
    </row>
    <row r="14" spans="1:5" ht="19.5" x14ac:dyDescent="0.5">
      <c r="A14" s="13"/>
      <c r="B14" s="13"/>
      <c r="C14" s="13"/>
      <c r="D14" s="13"/>
      <c r="E14" s="13"/>
    </row>
    <row r="15" spans="1:5" ht="19.5" x14ac:dyDescent="0.5">
      <c r="A15" s="13"/>
      <c r="B15" s="13"/>
      <c r="C15" s="13"/>
      <c r="D15" s="13"/>
      <c r="E15" s="13"/>
    </row>
    <row r="16" spans="1:5" ht="19.5" x14ac:dyDescent="0.5">
      <c r="A16" s="13"/>
      <c r="B16" s="13"/>
      <c r="C16" s="13"/>
      <c r="D16" s="13"/>
      <c r="E16" s="13"/>
    </row>
    <row r="17" spans="1:5" ht="19.5" x14ac:dyDescent="0.5">
      <c r="A17" s="13"/>
      <c r="B17" s="13"/>
      <c r="C17" s="13"/>
      <c r="D17" s="13"/>
      <c r="E17" s="13"/>
    </row>
    <row r="18" spans="1:5" ht="19.5" x14ac:dyDescent="0.5">
      <c r="A18" s="13"/>
      <c r="B18" s="13"/>
      <c r="C18" s="13"/>
      <c r="D18" s="13"/>
      <c r="E18" s="13"/>
    </row>
    <row r="19" spans="1:5" ht="19.5" x14ac:dyDescent="0.5">
      <c r="A19" s="13"/>
      <c r="B19" s="13"/>
      <c r="C19" s="13"/>
      <c r="D19" s="13"/>
      <c r="E19" s="13"/>
    </row>
    <row r="20" spans="1:5" ht="19.5" x14ac:dyDescent="0.5">
      <c r="A20" s="13"/>
      <c r="B20" s="13"/>
      <c r="C20" s="13"/>
      <c r="D20" s="13"/>
      <c r="E20" s="13"/>
    </row>
    <row r="21" spans="1:5" ht="19.5" x14ac:dyDescent="0.5">
      <c r="A21" s="13"/>
      <c r="B21" s="13"/>
      <c r="C21" s="13"/>
      <c r="D21" s="13"/>
      <c r="E21" s="13"/>
    </row>
    <row r="22" spans="1:5" ht="19.5" x14ac:dyDescent="0.5">
      <c r="A22" s="13"/>
      <c r="B22" s="13"/>
      <c r="C22" s="13"/>
      <c r="D22" s="13"/>
      <c r="E22" s="13"/>
    </row>
    <row r="23" spans="1:5" ht="19.5" x14ac:dyDescent="0.5">
      <c r="A23" s="13"/>
      <c r="B23" s="13"/>
      <c r="C23" s="13"/>
      <c r="D23" s="13"/>
      <c r="E23" s="13"/>
    </row>
    <row r="24" spans="1:5" ht="19.5" x14ac:dyDescent="0.5">
      <c r="A24" s="13"/>
      <c r="B24" s="13"/>
      <c r="C24" s="13"/>
      <c r="D24" s="13"/>
      <c r="E24" s="13"/>
    </row>
  </sheetData>
  <pageMargins left="0.7" right="0.7" top="0.75" bottom="0.75" header="0.3" footer="0.3"/>
  <ignoredErrors>
    <ignoredError sqref="D7:D8" calculatedColumn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09FC2-3A07-41E0-B3DB-35197DE0501F}">
  <dimension ref="A1:B4"/>
  <sheetViews>
    <sheetView rightToLeft="1" workbookViewId="0">
      <selection activeCell="B7" sqref="B7"/>
    </sheetView>
  </sheetViews>
  <sheetFormatPr defaultRowHeight="14.25" x14ac:dyDescent="0.2"/>
  <cols>
    <col min="1" max="2" width="9.75" customWidth="1"/>
    <col min="3" max="5" width="10.5" customWidth="1"/>
  </cols>
  <sheetData>
    <row r="1" spans="1:2" ht="26.25" thickBot="1" x14ac:dyDescent="0.25">
      <c r="A1" s="1" t="s">
        <v>12</v>
      </c>
      <c r="B1" s="2" t="s">
        <v>16</v>
      </c>
    </row>
    <row r="2" spans="1:2" ht="15" thickBot="1" x14ac:dyDescent="0.25">
      <c r="A2" s="3" t="s">
        <v>13</v>
      </c>
      <c r="B2" s="3" t="str">
        <f>TRIM(Table2[[#This Row],[نام مشتری (نامرتب)]])</f>
        <v>سارا</v>
      </c>
    </row>
    <row r="3" spans="1:2" ht="15" thickBot="1" x14ac:dyDescent="0.25">
      <c r="A3" s="3" t="s">
        <v>14</v>
      </c>
      <c r="B3" s="3" t="str">
        <f>TRIM(Table2[[#This Row],[نام مشتری (نامرتب)]])</f>
        <v>رضا</v>
      </c>
    </row>
    <row r="4" spans="1:2" ht="15" thickBot="1" x14ac:dyDescent="0.25">
      <c r="A4" s="3" t="s">
        <v>15</v>
      </c>
      <c r="B4" s="3" t="str">
        <f>TRIM(Table2[[#This Row],[نام مشتری (نامرتب)]])</f>
        <v>محمد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7BE91-0A84-4662-AA9B-BFCAB2A0C051}">
  <dimension ref="A1:D5"/>
  <sheetViews>
    <sheetView rightToLeft="1" workbookViewId="0">
      <selection activeCell="D8" sqref="D8"/>
    </sheetView>
  </sheetViews>
  <sheetFormatPr defaultRowHeight="19.5" x14ac:dyDescent="0.2"/>
  <cols>
    <col min="1" max="1" width="18.875" style="14" bestFit="1" customWidth="1"/>
    <col min="2" max="2" width="17.25" style="14" bestFit="1" customWidth="1"/>
    <col min="3" max="3" width="25" style="14" bestFit="1" customWidth="1"/>
    <col min="4" max="4" width="22.875" style="14" bestFit="1" customWidth="1"/>
    <col min="5" max="16384" width="9" style="14"/>
  </cols>
  <sheetData>
    <row r="1" spans="1:4" x14ac:dyDescent="0.2">
      <c r="A1" s="17" t="s">
        <v>18</v>
      </c>
      <c r="B1" s="17" t="s">
        <v>19</v>
      </c>
      <c r="C1" s="17" t="s">
        <v>24</v>
      </c>
      <c r="D1" s="17" t="s">
        <v>25</v>
      </c>
    </row>
    <row r="2" spans="1:4" x14ac:dyDescent="0.2">
      <c r="A2" s="14">
        <v>101</v>
      </c>
      <c r="B2" s="14" t="s">
        <v>20</v>
      </c>
      <c r="C2" s="14">
        <v>103</v>
      </c>
      <c r="D2" s="14" t="str">
        <f>VLOOKUP(Table4[[#This Row],[کدی که فروخته شده (ستون D)]],Table3[],2,0)</f>
        <v>تیشرت نخی باشگاه</v>
      </c>
    </row>
    <row r="3" spans="1:4" x14ac:dyDescent="0.2">
      <c r="A3" s="14">
        <v>102</v>
      </c>
      <c r="B3" s="14" t="s">
        <v>21</v>
      </c>
      <c r="C3" s="14">
        <v>101</v>
      </c>
      <c r="D3" s="14" t="str">
        <f>VLOOKUP(Table4[[#This Row],[کدی که فروخته شده (ستون D)]],Table3[],2,0)</f>
        <v>لگ ورزشی زنانه</v>
      </c>
    </row>
    <row r="4" spans="1:4" x14ac:dyDescent="0.2">
      <c r="A4" s="14">
        <v>103</v>
      </c>
      <c r="B4" s="14" t="s">
        <v>22</v>
      </c>
    </row>
    <row r="5" spans="1:4" x14ac:dyDescent="0.2">
      <c r="A5" s="14">
        <v>104</v>
      </c>
      <c r="B5" s="14" t="s">
        <v>23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72A63-10D1-4D51-A1FF-C227593BAEA8}">
  <dimension ref="A1:C5"/>
  <sheetViews>
    <sheetView rightToLeft="1" workbookViewId="0">
      <selection activeCell="D10" sqref="D10"/>
    </sheetView>
  </sheetViews>
  <sheetFormatPr defaultRowHeight="14.25" x14ac:dyDescent="0.2"/>
  <cols>
    <col min="1" max="1" width="11.875" bestFit="1" customWidth="1"/>
    <col min="2" max="2" width="12" bestFit="1" customWidth="1"/>
    <col min="3" max="3" width="13.875" bestFit="1" customWidth="1"/>
  </cols>
  <sheetData>
    <row r="1" spans="1:3" ht="19.5" x14ac:dyDescent="0.2">
      <c r="A1" s="14" t="s">
        <v>26</v>
      </c>
      <c r="B1" s="14" t="s">
        <v>27</v>
      </c>
      <c r="C1" s="14" t="s">
        <v>28</v>
      </c>
    </row>
    <row r="2" spans="1:3" ht="19.5" x14ac:dyDescent="0.2">
      <c r="A2" s="14">
        <v>501</v>
      </c>
      <c r="B2" s="14" t="s">
        <v>29</v>
      </c>
      <c r="C2" s="14">
        <v>12</v>
      </c>
    </row>
    <row r="3" spans="1:3" ht="19.5" x14ac:dyDescent="0.2">
      <c r="A3" s="14">
        <v>502</v>
      </c>
      <c r="B3" s="14" t="s">
        <v>30</v>
      </c>
      <c r="C3" s="14">
        <v>5</v>
      </c>
    </row>
    <row r="4" spans="1:3" ht="19.5" x14ac:dyDescent="0.2">
      <c r="A4" s="14">
        <v>503</v>
      </c>
      <c r="B4" s="14" t="s">
        <v>31</v>
      </c>
      <c r="C4" s="14">
        <v>40</v>
      </c>
    </row>
    <row r="5" spans="1:3" ht="19.5" x14ac:dyDescent="0.2">
      <c r="A5" s="14">
        <v>504</v>
      </c>
      <c r="B5" s="14" t="s">
        <v>32</v>
      </c>
      <c r="C5" s="14">
        <v>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4D66-8FEC-4902-84B9-07D6EF3ABE18}">
  <dimension ref="A3:B7"/>
  <sheetViews>
    <sheetView rightToLeft="1" workbookViewId="0">
      <selection activeCell="A3" sqref="A3"/>
    </sheetView>
  </sheetViews>
  <sheetFormatPr defaultRowHeight="14.25" x14ac:dyDescent="0.2"/>
  <cols>
    <col min="1" max="1" width="13.125" bestFit="1" customWidth="1"/>
    <col min="2" max="2" width="20.125" bestFit="1" customWidth="1"/>
  </cols>
  <sheetData>
    <row r="3" spans="1:2" x14ac:dyDescent="0.2">
      <c r="A3" s="20" t="s">
        <v>45</v>
      </c>
      <c r="B3" t="s">
        <v>48</v>
      </c>
    </row>
    <row r="4" spans="1:2" x14ac:dyDescent="0.2">
      <c r="A4" s="21" t="s">
        <v>38</v>
      </c>
      <c r="B4" s="22">
        <v>1100000</v>
      </c>
    </row>
    <row r="5" spans="1:2" x14ac:dyDescent="0.2">
      <c r="A5" s="21" t="s">
        <v>41</v>
      </c>
      <c r="B5" s="22">
        <v>2500000</v>
      </c>
    </row>
    <row r="6" spans="1:2" x14ac:dyDescent="0.2">
      <c r="A6" s="21" t="s">
        <v>46</v>
      </c>
      <c r="B6" s="22">
        <v>3600000</v>
      </c>
    </row>
    <row r="7" spans="1:2" x14ac:dyDescent="0.2">
      <c r="A7" s="21" t="s">
        <v>47</v>
      </c>
      <c r="B7" s="22">
        <v>7200000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4B902-9B91-4D31-94A5-EC757E5AE7C2}">
  <dimension ref="A3:B6"/>
  <sheetViews>
    <sheetView rightToLeft="1" workbookViewId="0">
      <selection activeCell="B10" sqref="B10"/>
    </sheetView>
  </sheetViews>
  <sheetFormatPr defaultRowHeight="14.25" x14ac:dyDescent="0.2"/>
  <cols>
    <col min="1" max="1" width="13.125" bestFit="1" customWidth="1"/>
    <col min="2" max="2" width="14.625" bestFit="1" customWidth="1"/>
  </cols>
  <sheetData>
    <row r="3" spans="1:2" x14ac:dyDescent="0.2">
      <c r="A3" s="20" t="s">
        <v>45</v>
      </c>
      <c r="B3" t="s">
        <v>58</v>
      </c>
    </row>
    <row r="4" spans="1:2" x14ac:dyDescent="0.2">
      <c r="A4" s="21" t="s">
        <v>52</v>
      </c>
      <c r="B4" s="22">
        <v>1700000</v>
      </c>
    </row>
    <row r="5" spans="1:2" x14ac:dyDescent="0.2">
      <c r="A5" s="21" t="s">
        <v>53</v>
      </c>
      <c r="B5" s="22">
        <v>3350000</v>
      </c>
    </row>
    <row r="6" spans="1:2" x14ac:dyDescent="0.2">
      <c r="A6" s="21" t="s">
        <v>47</v>
      </c>
      <c r="B6" s="22">
        <v>5050000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4F7CA-B975-47AC-B6DA-FDA205A14E9D}">
  <dimension ref="A1:D8"/>
  <sheetViews>
    <sheetView rightToLeft="1" workbookViewId="0">
      <selection sqref="A1:D8"/>
    </sheetView>
  </sheetViews>
  <sheetFormatPr defaultRowHeight="14.25" x14ac:dyDescent="0.2"/>
  <cols>
    <col min="1" max="1" width="9.875" customWidth="1"/>
    <col min="3" max="3" width="10.625" customWidth="1"/>
    <col min="4" max="4" width="9.75" customWidth="1"/>
  </cols>
  <sheetData>
    <row r="1" spans="1:4" x14ac:dyDescent="0.2">
      <c r="A1" t="s">
        <v>27</v>
      </c>
      <c r="B1" t="s">
        <v>33</v>
      </c>
      <c r="C1" t="s">
        <v>49</v>
      </c>
      <c r="D1" t="s">
        <v>50</v>
      </c>
    </row>
    <row r="2" spans="1:4" x14ac:dyDescent="0.2">
      <c r="A2" t="s">
        <v>36</v>
      </c>
      <c r="B2" t="s">
        <v>51</v>
      </c>
      <c r="C2" t="s">
        <v>52</v>
      </c>
      <c r="D2">
        <v>500000</v>
      </c>
    </row>
    <row r="3" spans="1:4" x14ac:dyDescent="0.2">
      <c r="A3" t="s">
        <v>39</v>
      </c>
      <c r="B3" t="s">
        <v>40</v>
      </c>
      <c r="C3" t="s">
        <v>53</v>
      </c>
      <c r="D3">
        <v>1600000</v>
      </c>
    </row>
    <row r="4" spans="1:4" x14ac:dyDescent="0.2">
      <c r="A4" t="s">
        <v>21</v>
      </c>
      <c r="B4" t="s">
        <v>54</v>
      </c>
      <c r="C4" t="s">
        <v>53</v>
      </c>
      <c r="D4">
        <v>850000</v>
      </c>
    </row>
    <row r="5" spans="1:4" x14ac:dyDescent="0.2">
      <c r="A5" t="s">
        <v>23</v>
      </c>
      <c r="B5" t="s">
        <v>54</v>
      </c>
      <c r="C5" t="s">
        <v>52</v>
      </c>
      <c r="D5">
        <v>600000</v>
      </c>
    </row>
    <row r="6" spans="1:4" x14ac:dyDescent="0.2">
      <c r="A6" t="s">
        <v>55</v>
      </c>
      <c r="B6" t="s">
        <v>56</v>
      </c>
      <c r="C6" t="s">
        <v>52</v>
      </c>
      <c r="D6">
        <v>150000</v>
      </c>
    </row>
    <row r="7" spans="1:4" x14ac:dyDescent="0.2">
      <c r="A7" t="s">
        <v>42</v>
      </c>
      <c r="B7" t="s">
        <v>40</v>
      </c>
      <c r="C7" t="s">
        <v>53</v>
      </c>
      <c r="D7">
        <v>900000</v>
      </c>
    </row>
    <row r="8" spans="1:4" x14ac:dyDescent="0.2">
      <c r="A8" t="s">
        <v>57</v>
      </c>
      <c r="B8" t="s">
        <v>51</v>
      </c>
      <c r="C8" t="s">
        <v>52</v>
      </c>
      <c r="D8">
        <v>450000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0E987-FBF9-4E2C-8D08-B80CC3F434F6}">
  <dimension ref="A1:D7"/>
  <sheetViews>
    <sheetView rightToLeft="1" workbookViewId="0">
      <selection sqref="A1:D7"/>
    </sheetView>
  </sheetViews>
  <sheetFormatPr defaultRowHeight="14.25" x14ac:dyDescent="0.2"/>
  <cols>
    <col min="1" max="1" width="12" bestFit="1" customWidth="1"/>
    <col min="2" max="2" width="10.875" bestFit="1" customWidth="1"/>
    <col min="3" max="3" width="13.375" bestFit="1" customWidth="1"/>
    <col min="4" max="4" width="17.625" bestFit="1" customWidth="1"/>
  </cols>
  <sheetData>
    <row r="1" spans="1:4" ht="19.5" x14ac:dyDescent="0.2">
      <c r="A1" s="14" t="s">
        <v>27</v>
      </c>
      <c r="B1" s="14" t="s">
        <v>33</v>
      </c>
      <c r="C1" s="14" t="s">
        <v>34</v>
      </c>
      <c r="D1" s="14" t="s">
        <v>35</v>
      </c>
    </row>
    <row r="2" spans="1:4" ht="19.5" x14ac:dyDescent="0.2">
      <c r="A2" s="14" t="s">
        <v>36</v>
      </c>
      <c r="B2" s="14" t="s">
        <v>37</v>
      </c>
      <c r="C2" s="14" t="s">
        <v>38</v>
      </c>
      <c r="D2" s="14">
        <v>500000</v>
      </c>
    </row>
    <row r="3" spans="1:4" ht="19.5" x14ac:dyDescent="0.2">
      <c r="A3" s="14" t="s">
        <v>39</v>
      </c>
      <c r="B3" s="14" t="s">
        <v>40</v>
      </c>
      <c r="C3" s="14" t="s">
        <v>41</v>
      </c>
      <c r="D3" s="14">
        <v>1600000</v>
      </c>
    </row>
    <row r="4" spans="1:4" ht="19.5" x14ac:dyDescent="0.2">
      <c r="A4" s="14" t="s">
        <v>23</v>
      </c>
      <c r="B4" s="14" t="s">
        <v>37</v>
      </c>
      <c r="C4" s="14" t="s">
        <v>38</v>
      </c>
      <c r="D4" s="14">
        <v>600000</v>
      </c>
    </row>
    <row r="5" spans="1:4" ht="19.5" x14ac:dyDescent="0.2">
      <c r="A5" s="14" t="s">
        <v>42</v>
      </c>
      <c r="B5" s="14" t="s">
        <v>40</v>
      </c>
      <c r="C5" s="14" t="s">
        <v>41</v>
      </c>
      <c r="D5" s="14">
        <v>900000</v>
      </c>
    </row>
    <row r="6" spans="1:4" ht="19.5" x14ac:dyDescent="0.2">
      <c r="A6" s="14" t="s">
        <v>43</v>
      </c>
      <c r="B6" s="14"/>
      <c r="C6" s="14"/>
      <c r="D6" s="14">
        <f>SUMIFS(D2:D5,B2:B5,"لباس")</f>
        <v>1100000</v>
      </c>
    </row>
    <row r="7" spans="1:4" ht="19.5" x14ac:dyDescent="0.2">
      <c r="A7" s="14" t="s">
        <v>44</v>
      </c>
      <c r="B7" s="14"/>
      <c r="C7" s="14"/>
      <c r="D7" s="14">
        <f>SUMIFS(D2:D5,B2:B5,"کفش")</f>
        <v>2500000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Sheet6</vt:lpstr>
      <vt:lpstr>Sheet8</vt:lpstr>
      <vt:lpstr>Sheet7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Autistic Blue☁️</dc:creator>
  <cp:lastModifiedBy>Autistic Blue☁️</cp:lastModifiedBy>
  <dcterms:created xsi:type="dcterms:W3CDTF">2015-06-05T18:17:20Z</dcterms:created>
  <dcterms:modified xsi:type="dcterms:W3CDTF">2026-07-12T13:53:17Z</dcterms:modified>
</cp:coreProperties>
</file>